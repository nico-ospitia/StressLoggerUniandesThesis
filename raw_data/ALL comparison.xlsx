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Tesis\ResultsFinal\"/>
    </mc:Choice>
  </mc:AlternateContent>
  <xr:revisionPtr revIDLastSave="0" documentId="8_{D6030090-11F8-4590-85AA-C61C6A0AC001}" xr6:coauthVersionLast="47" xr6:coauthVersionMax="47" xr10:uidLastSave="{00000000-0000-0000-0000-000000000000}"/>
  <bookViews>
    <workbookView xWindow="-110" yWindow="-110" windowWidth="19420" windowHeight="10300" xr2:uid="{C116379E-AA1B-4040-9B4B-2D15787FC1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B12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B11" i="1"/>
</calcChain>
</file>

<file path=xl/sharedStrings.xml><?xml version="1.0" encoding="utf-8"?>
<sst xmlns="http://schemas.openxmlformats.org/spreadsheetml/2006/main" count="18" uniqueCount="18">
  <si>
    <t>icc_RMSSD</t>
  </si>
  <si>
    <t>PID</t>
  </si>
  <si>
    <t>r_HR</t>
  </si>
  <si>
    <t>ME_HR</t>
  </si>
  <si>
    <t>MAE_HR</t>
  </si>
  <si>
    <t>r_EDA</t>
  </si>
  <si>
    <t>ME_EDA</t>
  </si>
  <si>
    <t>MAE_EDA</t>
  </si>
  <si>
    <t>r_SDNN</t>
  </si>
  <si>
    <t>ME_SDNN</t>
  </si>
  <si>
    <t>MAE_SDNN</t>
  </si>
  <si>
    <t>icc_SDNN</t>
  </si>
  <si>
    <t>r_RMSSD</t>
  </si>
  <si>
    <t>ME_RMSSD</t>
  </si>
  <si>
    <t>MAE_RMSSD</t>
  </si>
  <si>
    <t>r_HR_Window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</si>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</sst>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9" formatCode="0.0000"/>
    <numFmt numFmtId="170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507A515-0D07-4521-A8DB-850A0D093AE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91EE8-59BE-44D8-B40B-30D10E30AEE7}">
  <dimension ref="A2:P12"/>
  <sheetViews>
    <sheetView tabSelected="1" workbookViewId="0">
      <selection activeCell="A2" sqref="A2:P12"/>
    </sheetView>
  </sheetViews>
  <sheetFormatPr baseColWidth="10" defaultRowHeight="14.5" x14ac:dyDescent="0.35"/>
  <cols>
    <col min="2" max="4" width="11.36328125" bestFit="1" customWidth="1"/>
    <col min="5" max="5" width="12.36328125" bestFit="1" customWidth="1"/>
    <col min="6" max="7" width="12" bestFit="1" customWidth="1"/>
    <col min="8" max="9" width="11.36328125" bestFit="1" customWidth="1"/>
    <col min="10" max="10" width="13" bestFit="1" customWidth="1"/>
    <col min="11" max="11" width="12.36328125" bestFit="1" customWidth="1"/>
    <col min="12" max="13" width="11.36328125" bestFit="1" customWidth="1"/>
    <col min="14" max="14" width="12" bestFit="1" customWidth="1"/>
    <col min="15" max="16" width="11.36328125" bestFit="1" customWidth="1"/>
  </cols>
  <sheetData>
    <row r="2" spans="1:16" x14ac:dyDescent="0.35">
      <c r="A2" t="s">
        <v>1</v>
      </c>
      <c r="B2" t="s">
        <v>2</v>
      </c>
      <c r="C2" t="s">
        <v>15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0</v>
      </c>
    </row>
    <row r="3" spans="1:16" x14ac:dyDescent="0.35">
      <c r="A3">
        <v>1</v>
      </c>
      <c r="B3" s="1">
        <v>0.29129398169806903</v>
      </c>
      <c r="C3" s="2">
        <v>0.773695895540359</v>
      </c>
      <c r="D3" s="2">
        <v>0.38771320612065202</v>
      </c>
      <c r="E3" s="2">
        <v>4.9328988737515598</v>
      </c>
      <c r="F3" s="2">
        <v>0.91979554706383004</v>
      </c>
      <c r="G3" s="2">
        <v>-4.1623023857829402</v>
      </c>
      <c r="H3" s="2">
        <v>4.1623023857829402</v>
      </c>
      <c r="I3" s="2">
        <v>0.93931473953052302</v>
      </c>
      <c r="J3" s="2">
        <v>-1.9846471872959699</v>
      </c>
      <c r="K3" s="2">
        <v>6.0216165856872896</v>
      </c>
      <c r="L3" s="2">
        <v>0.84962781832586898</v>
      </c>
      <c r="M3" s="2">
        <v>0.19237797921018801</v>
      </c>
      <c r="N3" s="2">
        <v>-1.31376143219918</v>
      </c>
      <c r="O3" s="2">
        <v>1.31376143219918</v>
      </c>
      <c r="P3" s="2">
        <v>5.8921948557046903E-2</v>
      </c>
    </row>
    <row r="4" spans="1:16" x14ac:dyDescent="0.35">
      <c r="A4">
        <v>2</v>
      </c>
      <c r="B4" s="1">
        <v>0.45845049544453798</v>
      </c>
      <c r="C4" s="2">
        <v>0.92905812427149204</v>
      </c>
      <c r="D4" s="2">
        <v>2.8911716849659399</v>
      </c>
      <c r="E4" s="2">
        <v>7.9345337744339899</v>
      </c>
      <c r="F4" s="2">
        <v>0.91283474724472502</v>
      </c>
      <c r="G4" s="2">
        <v>-2.4858043915122301</v>
      </c>
      <c r="H4" s="2">
        <v>2.4858043915122301</v>
      </c>
      <c r="I4" s="2">
        <v>0.62753281302625696</v>
      </c>
      <c r="J4" s="2">
        <v>1.67538483764997</v>
      </c>
      <c r="K4" s="2">
        <v>18.266374143498201</v>
      </c>
      <c r="L4" s="2">
        <v>0.44562323272855398</v>
      </c>
      <c r="M4" s="2">
        <v>0.21821694671420599</v>
      </c>
      <c r="N4" s="2">
        <v>-3.1623925985962198</v>
      </c>
      <c r="O4" s="2">
        <v>3.1623925985962198</v>
      </c>
      <c r="P4" s="2">
        <v>3.7122040389926399E-2</v>
      </c>
    </row>
    <row r="5" spans="1:16" x14ac:dyDescent="0.35">
      <c r="A5">
        <v>3</v>
      </c>
      <c r="B5" s="1">
        <v>0.33635236375291</v>
      </c>
      <c r="C5" s="2">
        <v>0.90356321819382202</v>
      </c>
      <c r="D5" s="2">
        <v>4.9987680284802103</v>
      </c>
      <c r="E5" s="2">
        <v>8.4315908149451602</v>
      </c>
      <c r="F5" s="2">
        <v>0.86975476673844598</v>
      </c>
      <c r="G5" s="2">
        <v>-6.04061840317092</v>
      </c>
      <c r="H5" s="2">
        <v>6.04061840317092</v>
      </c>
      <c r="I5" s="2">
        <v>0.80959468494850895</v>
      </c>
      <c r="J5" s="2">
        <v>8.2770136777863907</v>
      </c>
      <c r="K5" s="2">
        <v>20.8986050149669</v>
      </c>
      <c r="L5" s="2">
        <v>0.68897118884341402</v>
      </c>
      <c r="M5" s="2">
        <v>0.84557992312039498</v>
      </c>
      <c r="N5" s="2">
        <v>-5.9844352612825196</v>
      </c>
      <c r="O5" s="2">
        <v>5.9844352612825196</v>
      </c>
      <c r="P5" s="2">
        <v>8.5256752929318197E-2</v>
      </c>
    </row>
    <row r="6" spans="1:16" x14ac:dyDescent="0.35">
      <c r="A6">
        <v>4</v>
      </c>
      <c r="B6" s="1">
        <v>0.13444579100054699</v>
      </c>
      <c r="C6" s="2">
        <v>0.34192380691691199</v>
      </c>
      <c r="D6" s="2">
        <v>6.9982321223036701</v>
      </c>
      <c r="E6" s="2">
        <v>10.7969549941874</v>
      </c>
      <c r="F6" s="2">
        <v>0.96981213948150602</v>
      </c>
      <c r="G6" s="2">
        <v>-4.1577030585415002</v>
      </c>
      <c r="H6" s="2">
        <v>4.1577030585415002</v>
      </c>
      <c r="I6" s="2">
        <v>0.53711706043535101</v>
      </c>
      <c r="J6" s="2">
        <v>28.886434922969901</v>
      </c>
      <c r="K6" s="2">
        <v>30.926411101688899</v>
      </c>
      <c r="L6" s="2">
        <v>0.32981906625848401</v>
      </c>
      <c r="M6" s="2">
        <v>0.51637882865665496</v>
      </c>
      <c r="N6" s="2">
        <v>-3.3057637620722602</v>
      </c>
      <c r="O6" s="2">
        <v>3.3057637620722602</v>
      </c>
      <c r="P6" s="2">
        <v>0.208610256943636</v>
      </c>
    </row>
    <row r="7" spans="1:16" x14ac:dyDescent="0.35">
      <c r="A7">
        <v>5</v>
      </c>
      <c r="B7" s="1">
        <v>0.58419107228298695</v>
      </c>
      <c r="C7" s="2">
        <v>0.96021244475672696</v>
      </c>
      <c r="D7" s="2">
        <v>0.89920750128647697</v>
      </c>
      <c r="E7" s="2">
        <v>4.8027427644707696</v>
      </c>
      <c r="F7" s="2">
        <v>0.91273668662937901</v>
      </c>
      <c r="G7" s="2">
        <v>-3.6448505483601901</v>
      </c>
      <c r="H7" s="2">
        <v>3.6448505483601901</v>
      </c>
      <c r="I7" s="2">
        <v>0.91656257102923</v>
      </c>
      <c r="J7" s="2">
        <v>-1.06968535820018</v>
      </c>
      <c r="K7" s="2">
        <v>6.1760314341575802</v>
      </c>
      <c r="L7" s="2">
        <v>0.79860587807192995</v>
      </c>
      <c r="M7" s="2">
        <v>0.65902684180022497</v>
      </c>
      <c r="N7" s="2">
        <v>-1.7845274090494101</v>
      </c>
      <c r="O7" s="2">
        <v>1.7845274090494101</v>
      </c>
      <c r="P7" s="2">
        <v>0.15668199540271199</v>
      </c>
    </row>
    <row r="8" spans="1:16" x14ac:dyDescent="0.35">
      <c r="A8">
        <v>6</v>
      </c>
      <c r="B8" s="1">
        <v>0.28646706976383302</v>
      </c>
      <c r="C8" s="2">
        <v>0.57320770175158398</v>
      </c>
      <c r="D8" s="2">
        <v>0.89138758788759798</v>
      </c>
      <c r="E8" s="2">
        <v>5.9389854196744096</v>
      </c>
      <c r="F8" s="2">
        <v>0.90178398635990298</v>
      </c>
      <c r="G8" s="2">
        <v>-0.99397122016223804</v>
      </c>
      <c r="H8" s="2">
        <v>0.99397122016223804</v>
      </c>
      <c r="I8" s="2">
        <v>5.78800634945505E-2</v>
      </c>
      <c r="J8" s="2">
        <v>-2.9324739638796999</v>
      </c>
      <c r="K8" s="2">
        <v>16.840166326460501</v>
      </c>
      <c r="L8" s="2">
        <v>5.6809525732673199E-2</v>
      </c>
      <c r="M8" s="2">
        <v>0.52226092934811197</v>
      </c>
      <c r="N8" s="2">
        <v>-4.5322216489154998</v>
      </c>
      <c r="O8" s="2">
        <v>4.5322216489154998</v>
      </c>
      <c r="P8" s="2">
        <v>2.7179257379038299E-2</v>
      </c>
    </row>
    <row r="9" spans="1:16" x14ac:dyDescent="0.35">
      <c r="A9">
        <v>7</v>
      </c>
      <c r="B9" s="1">
        <v>0.77029362075055396</v>
      </c>
      <c r="C9" s="2">
        <v>0.95950186455531605</v>
      </c>
      <c r="D9" s="2">
        <v>4.3081767300978804</v>
      </c>
      <c r="E9" s="2">
        <v>5.5961923805852196</v>
      </c>
      <c r="F9" s="2">
        <v>0.97843000779727796</v>
      </c>
      <c r="G9" s="2">
        <v>-3.5036692179994602</v>
      </c>
      <c r="H9" s="2">
        <v>3.5036692179994602</v>
      </c>
      <c r="I9" s="2">
        <v>0.60444262454948405</v>
      </c>
      <c r="J9" s="2">
        <v>-12.022012571124201</v>
      </c>
      <c r="K9" s="2">
        <v>12.022012571124201</v>
      </c>
      <c r="L9" s="2">
        <v>0.17233428664991299</v>
      </c>
      <c r="M9" s="2">
        <v>0.489702850093169</v>
      </c>
      <c r="N9" s="2">
        <v>-1.87359956970868</v>
      </c>
      <c r="O9" s="2">
        <v>1.87359956970868</v>
      </c>
      <c r="P9" s="2">
        <v>5.0382759771185399E-2</v>
      </c>
    </row>
    <row r="10" spans="1:16" x14ac:dyDescent="0.35">
      <c r="A10">
        <v>8</v>
      </c>
      <c r="B10" s="1">
        <v>0.24122927979118999</v>
      </c>
      <c r="C10" s="2">
        <v>0.80656162020375799</v>
      </c>
      <c r="D10" s="2">
        <v>1.51582411590483</v>
      </c>
      <c r="E10" s="2">
        <v>4.6995614620388304</v>
      </c>
      <c r="F10" s="2">
        <v>-0.148279446176554</v>
      </c>
      <c r="G10" s="2">
        <v>-8.2330535141408298E-2</v>
      </c>
      <c r="H10" s="2">
        <v>0.54664979815662795</v>
      </c>
      <c r="I10" s="2">
        <v>5.83364441281446E-2</v>
      </c>
      <c r="J10" s="2">
        <v>-19.8918854365707</v>
      </c>
      <c r="K10" s="2">
        <v>19.8918854365707</v>
      </c>
      <c r="L10" s="2">
        <v>1.4747225316853499E-2</v>
      </c>
      <c r="M10" s="2">
        <v>0.62926367991533605</v>
      </c>
      <c r="N10" s="2">
        <v>-3.32902393180437</v>
      </c>
      <c r="O10" s="2">
        <v>3.32902393180437</v>
      </c>
      <c r="P10" s="2">
        <v>6.6230634927589793E-2</v>
      </c>
    </row>
    <row r="11" spans="1:16" x14ac:dyDescent="0.35">
      <c r="A11" t="s">
        <v>16</v>
      </c>
      <c r="B11" s="2">
        <f>AVERAGE(B3:B10)</f>
        <v>0.38784045931057842</v>
      </c>
      <c r="C11" s="2">
        <f t="shared" ref="C11:P11" si="0">AVERAGE(C3:C10)</f>
        <v>0.78096558452374609</v>
      </c>
      <c r="D11" s="2">
        <f t="shared" si="0"/>
        <v>2.8613101221309067</v>
      </c>
      <c r="E11" s="2">
        <f t="shared" si="0"/>
        <v>6.641682560510918</v>
      </c>
      <c r="F11" s="2">
        <f t="shared" si="0"/>
        <v>0.78960855439231414</v>
      </c>
      <c r="G11" s="2">
        <f t="shared" si="0"/>
        <v>-3.1339062200838605</v>
      </c>
      <c r="H11" s="2">
        <f t="shared" si="0"/>
        <v>3.191946127960763</v>
      </c>
      <c r="I11" s="2">
        <f t="shared" si="0"/>
        <v>0.56884762514275622</v>
      </c>
      <c r="J11" s="2">
        <f t="shared" si="0"/>
        <v>0.11726611516693852</v>
      </c>
      <c r="K11" s="2">
        <f t="shared" si="0"/>
        <v>16.380387826769283</v>
      </c>
      <c r="L11" s="2">
        <f t="shared" si="0"/>
        <v>0.41956727774096131</v>
      </c>
      <c r="M11" s="2">
        <f t="shared" si="0"/>
        <v>0.50910099735728576</v>
      </c>
      <c r="N11" s="2">
        <f t="shared" si="0"/>
        <v>-3.1607157017035172</v>
      </c>
      <c r="O11" s="2">
        <f t="shared" si="0"/>
        <v>3.1607157017035172</v>
      </c>
      <c r="P11" s="2">
        <f t="shared" si="0"/>
        <v>8.629820578755662E-2</v>
      </c>
    </row>
    <row r="12" spans="1:16" x14ac:dyDescent="0.35">
      <c r="A12" t="s">
        <v>17</v>
      </c>
      <c r="B12" s="2">
        <f>STDEVA(B3:B10)</f>
        <v>0.20624613154213303</v>
      </c>
      <c r="C12" s="2">
        <f t="shared" ref="C12:P12" si="1">STDEVA(C3:C10)</f>
        <v>0.21960849777336619</v>
      </c>
      <c r="D12" s="2">
        <f t="shared" si="1"/>
        <v>2.3735633372813481</v>
      </c>
      <c r="E12" s="2">
        <f t="shared" si="1"/>
        <v>2.1974606588219765</v>
      </c>
      <c r="F12" s="2">
        <f t="shared" si="1"/>
        <v>0.38061255186503867</v>
      </c>
      <c r="G12" s="2">
        <f t="shared" si="1"/>
        <v>1.8997742377756324</v>
      </c>
      <c r="H12" s="2">
        <f t="shared" si="1"/>
        <v>1.7975708873855587</v>
      </c>
      <c r="I12" s="2">
        <f t="shared" si="1"/>
        <v>0.34713892077847908</v>
      </c>
      <c r="J12" s="2">
        <f t="shared" si="1"/>
        <v>14.439679106326025</v>
      </c>
      <c r="K12" s="2">
        <f t="shared" si="1"/>
        <v>8.2680840903445212</v>
      </c>
      <c r="L12" s="2">
        <f t="shared" si="1"/>
        <v>0.33091454746150112</v>
      </c>
      <c r="M12" s="2">
        <f t="shared" si="1"/>
        <v>0.21897956085071674</v>
      </c>
      <c r="N12" s="2">
        <f t="shared" si="1"/>
        <v>1.5522146553611882</v>
      </c>
      <c r="O12" s="2">
        <f t="shared" si="1"/>
        <v>1.5522146553611882</v>
      </c>
      <c r="P12" s="2">
        <f t="shared" si="1"/>
        <v>6.3550465604143083E-2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Ospitia Franco</dc:creator>
  <cp:lastModifiedBy>Nicolas Ospitia Franco</cp:lastModifiedBy>
  <dcterms:created xsi:type="dcterms:W3CDTF">2025-11-24T07:53:44Z</dcterms:created>
  <dcterms:modified xsi:type="dcterms:W3CDTF">2025-11-24T08:04:35Z</dcterms:modified>
</cp:coreProperties>
</file>